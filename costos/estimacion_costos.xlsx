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ción de Costos" sheetId="1" state="visible" r:id="rId3"/>
    <sheet name="Distribución de Costos" sheetId="2" state="visible" r:id="rId4"/>
    <sheet name="Optimización" sheetId="3" state="visible" r:id="rId5"/>
  </sheets>
  <definedNames>
    <definedName function="false" hidden="true" localSheetId="1" name="_xlnm._FilterDatabase" vbProcedure="false">'Distribución de Costos'!$B$4:$D$11</definedName>
    <definedName function="false" hidden="true" localSheetId="0" name="_xlnm._FilterDatabase" vbProcedure="false">'Estimación de Costos'!$B$12:$F$19</definedName>
    <definedName function="false" hidden="true" localSheetId="2" name="_xlnm._FilterDatabase" vbProcedure="false">Optimización!$B$4:$D$9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<sst xmlns="http://schemas.openxmlformats.org/spreadsheetml/2006/main" count="69" uniqueCount="61">
  <si>
    <t xml:space="preserve">COMERCIAL NOVA</t>
  </si>
  <si>
    <t xml:space="preserve">Implementación de WordPress en AWS</t>
  </si>
  <si>
    <t xml:space="preserve">Estimación Mensual de Costos</t>
  </si>
  <si>
    <t xml:space="preserve">Proyecto:</t>
  </si>
  <si>
    <t xml:space="preserve">Portal Web WordPress sobre AWS</t>
  </si>
  <si>
    <t xml:space="preserve">Región:</t>
  </si>
  <si>
    <t xml:space="preserve">us-east-1 (N. Virginia)</t>
  </si>
  <si>
    <t xml:space="preserve">Periodo:</t>
  </si>
  <si>
    <t xml:space="preserve">730 horas/mes</t>
  </si>
  <si>
    <t xml:space="preserve">Fecha:</t>
  </si>
  <si>
    <t xml:space="preserve">03/07/2026</t>
  </si>
  <si>
    <t xml:space="preserve">Servicio AWS</t>
  </si>
  <si>
    <t xml:space="preserve">Configuración</t>
  </si>
  <si>
    <t xml:space="preserve">Cantidad</t>
  </si>
  <si>
    <t xml:space="preserve">Costo Unitario (USD)</t>
  </si>
  <si>
    <t xml:space="preserve">Costo Mensual (USD)</t>
  </si>
  <si>
    <t xml:space="preserve">Amazon EC2</t>
  </si>
  <si>
    <t xml:space="preserve">2 × t3.micro</t>
  </si>
  <si>
    <t xml:space="preserve">Application Load Balancer</t>
  </si>
  <si>
    <t xml:space="preserve">1 ALB</t>
  </si>
  <si>
    <t xml:space="preserve">Amazon RDS</t>
  </si>
  <si>
    <t xml:space="preserve">db.t3.micro Multi-AZ</t>
  </si>
  <si>
    <t xml:space="preserve">Amazon S3</t>
  </si>
  <si>
    <t xml:space="preserve">15 GB</t>
  </si>
  <si>
    <t xml:space="preserve">NAT Gateway</t>
  </si>
  <si>
    <t xml:space="preserve">Gateway + Data Processing</t>
  </si>
  <si>
    <t xml:space="preserve">Transferencia de Datos</t>
  </si>
  <si>
    <t xml:space="preserve">20 GB</t>
  </si>
  <si>
    <t xml:space="preserve">Amazon CloudWatch</t>
  </si>
  <si>
    <t xml:space="preserve">Dashboard + Alarmas</t>
  </si>
  <si>
    <t xml:space="preserve">TOTAL MENSUAL ESTIMADO</t>
  </si>
  <si>
    <t xml:space="preserve">Comercial Nova - Implementación de WordPress en AWS</t>
  </si>
  <si>
    <t xml:space="preserve">Distribución de Costos Mensuales</t>
  </si>
  <si>
    <t xml:space="preserve">Servicio</t>
  </si>
  <si>
    <t xml:space="preserve">Costo (USD)</t>
  </si>
  <si>
    <t xml:space="preserve">Porcentaje</t>
  </si>
  <si>
    <t xml:space="preserve">Acciones de Optimización de Costos</t>
  </si>
  <si>
    <t xml:space="preserve">Acción</t>
  </si>
  <si>
    <t xml:space="preserve">Descripción</t>
  </si>
  <si>
    <t xml:space="preserve">Ahorro Estimado</t>
  </si>
  <si>
    <t xml:space="preserve">Rightsizing EC2</t>
  </si>
  <si>
    <t xml:space="preserve">Reducir tamaño de instancia según uso real</t>
  </si>
  <si>
    <t xml:space="preserve">3 USD</t>
  </si>
  <si>
    <t xml:space="preserve">NAT Instance</t>
  </si>
  <si>
    <t xml:space="preserve">Reemplazar NAT Gateway cuando sea posible</t>
  </si>
  <si>
    <t xml:space="preserve">28 USD</t>
  </si>
  <si>
    <t xml:space="preserve">Lifecycle S3</t>
  </si>
  <si>
    <t xml:space="preserve">Mover archivos antiguos a Standard-IA y Glacier</t>
  </si>
  <si>
    <t xml:space="preserve">0.40 USD</t>
  </si>
  <si>
    <t xml:space="preserve">Instance Scheduler</t>
  </si>
  <si>
    <t xml:space="preserve">Apagar recursos fuera del horario laboral</t>
  </si>
  <si>
    <t xml:space="preserve">12 USD</t>
  </si>
  <si>
    <t xml:space="preserve">Savings Plans</t>
  </si>
  <si>
    <t xml:space="preserve">Contratos de ahorro para EC2 y RDS</t>
  </si>
  <si>
    <t xml:space="preserve">20%</t>
  </si>
  <si>
    <t xml:space="preserve">Comparación de Arquitecturas</t>
  </si>
  <si>
    <t xml:space="preserve">Arquitectura</t>
  </si>
  <si>
    <t xml:space="preserve">Inicial</t>
  </si>
  <si>
    <t xml:space="preserve">Optimizada</t>
  </si>
  <si>
    <t xml:space="preserve">Ahorro (%)</t>
  </si>
  <si>
    <t xml:space="preserve">La aplicación de estrategias de optimización permite reducir aproximadamente un 38% del costo mensual manteniendo la funcionalidad esencial de la infraestructura.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</si>
</sst>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99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6"/>
      <color rgb="FF232F3E"/>
      <name val="Calibri"/>
      <family val="0"/>
      <charset val="1"/>
    </font>
    <font>
      <b val="true"/>
      <sz val="11"/>
      <color rgb="FF232F3E"/>
      <name val="Calibri"/>
      <family val="0"/>
      <charset val="1"/>
    </font>
    <font>
      <sz val="11"/>
      <color rgb="FF1A1A1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6"/>
      <color rgb="FFFF99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232F3E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i val="true"/>
      <sz val="12"/>
      <color rgb="FF232F3E"/>
      <name val="Calibri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32F3E"/>
        <bgColor rgb="FF1A1A1A"/>
      </patternFill>
    </fill>
    <fill>
      <patternFill patternType="solid">
        <fgColor rgb="FFF2F2F2"/>
        <bgColor rgb="FFF9F9F9"/>
      </patternFill>
    </fill>
    <fill>
      <patternFill patternType="solid">
        <fgColor rgb="FF2E7D32"/>
        <bgColor rgb="FF008000"/>
      </patternFill>
    </fill>
    <fill>
      <patternFill patternType="solid">
        <fgColor rgb="FFFFF3E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32F3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3E0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000"/>
      <rgbColor rgb="FFFF9900"/>
      <rgbColor rgb="FFFF6600"/>
      <rgbColor rgb="FF4F81BD"/>
      <rgbColor rgb="FF878787"/>
      <rgbColor rgb="FF003366"/>
      <rgbColor rgb="FF2E7D32"/>
      <rgbColor rgb="FF003300"/>
      <rgbColor rgb="FF1A1A1A"/>
      <rgbColor rgb="FF993300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del Costo Mensual AWS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'Distribución de Costos'!C4</c:f>
              <c:strCache>
                <c:ptCount val="1"/>
                <c:pt idx="0">
                  <c:v>Costo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f99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32f3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'Distribución de Costos'!$B$5:$B$11</c:f>
              <c:strCache>
                <c:ptCount val="7"/>
                <c:pt idx="0">
                  <c:v>NAT Gateway</c:v>
                </c:pt>
                <c:pt idx="1">
                  <c:v>Amazon RDS</c:v>
                </c:pt>
                <c:pt idx="2">
                  <c:v>Application Load Balancer</c:v>
                </c:pt>
                <c:pt idx="3">
                  <c:v>Amazon EC2</c:v>
                </c:pt>
                <c:pt idx="4">
                  <c:v>Amazon CloudWatch</c:v>
                </c:pt>
                <c:pt idx="5">
                  <c:v>Transferencia de Datos</c:v>
                </c:pt>
                <c:pt idx="6">
                  <c:v>Amazon S3</c:v>
                </c:pt>
              </c:strCache>
            </c:strRef>
          </c:cat>
          <c:val>
            <c:numRef>
              <c:f>'Distribución de Costos'!$C$5:$C$11</c:f>
              <c:numCache>
                <c:formatCode>\$#,##0.00</c:formatCode>
                <c:ptCount val="7"/>
                <c:pt idx="0">
                  <c:v>34.2</c:v>
                </c:pt>
                <c:pt idx="1">
                  <c:v>32.4</c:v>
                </c:pt>
                <c:pt idx="2">
                  <c:v>19.8</c:v>
                </c:pt>
                <c:pt idx="3">
                  <c:v>15.18</c:v>
                </c:pt>
                <c:pt idx="4">
                  <c:v>4.5</c:v>
                </c:pt>
                <c:pt idx="5">
                  <c:v>1.8</c:v>
                </c:pt>
                <c:pt idx="6">
                  <c:v>1.2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Comparación Arquitectura Inicial vs Optimizada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Optimización!C12</c:f>
              <c:strCache>
                <c:ptCount val="1"/>
                <c:pt idx="0">
                  <c:v>Costo Mensual (USD)</c:v>
                </c:pt>
              </c:strCache>
            </c:strRef>
          </c:tx>
          <c:spPr>
            <a:solidFill>
              <a:srgbClr val="ff99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Optimización!$B$13:$B$14</c:f>
              <c:strCache>
                <c:ptCount val="2"/>
                <c:pt idx="0">
                  <c:v>Inicial</c:v>
                </c:pt>
                <c:pt idx="1">
                  <c:v>Optimizada</c:v>
                </c:pt>
              </c:strCache>
            </c:strRef>
          </c:cat>
          <c:val>
            <c:numRef>
              <c:f>Optimización!$C$13:$C$14</c:f>
              <c:numCache>
                <c:formatCode>\$#,##0.00</c:formatCode>
                <c:ptCount val="2"/>
                <c:pt idx="0">
                  <c:v>109.08</c:v>
                </c:pt>
                <c:pt idx="1">
                  <c:v>67</c:v>
                </c:pt>
              </c:numCache>
            </c:numRef>
          </c:val>
        </c:ser>
        <c:gapWidth val="150"/>
        <c:overlap val="0"/>
        <c:axId val="65229048"/>
        <c:axId val="16630662"/>
      </c:barChart>
      <c:catAx>
        <c:axId val="6522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30662"/>
        <c:crosses val="autoZero"/>
        <c:auto val="1"/>
        <c:lblAlgn val="ctr"/>
        <c:lblOffset val="100"/>
        <c:noMultiLvlLbl val="0"/>
      </c:catAx>
      <c:valAx>
        <c:axId val="16630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Mensual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29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21</xdr:row>
      <xdr:rowOff>56160</xdr:rowOff>
    </xdr:to>
    <xdr:graphicFrame>
      <xdr:nvGraphicFramePr>
        <xdr:cNvPr id="0" name="Chart 1"/>
        <xdr:cNvGraphicFramePr/>
      </xdr:nvGraphicFramePr>
      <xdr:xfrm>
        <a:off x="5122440" y="7333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147600</xdr:colOff>
      <xdr:row>18</xdr:row>
      <xdr:rowOff>167400</xdr:rowOff>
    </xdr:to>
    <xdr:graphicFrame>
      <xdr:nvGraphicFramePr>
        <xdr:cNvPr id="1" name="Chart 1"/>
        <xdr:cNvGraphicFramePr/>
      </xdr:nvGraphicFramePr>
      <xdr:xfrm>
        <a:off x="6955200" y="733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12"/>
    <col collapsed="false" customWidth="true" hidden="false" outlineLevel="0" max="6" min="5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</row>
    <row r="5" customFormat="false" ht="19.7" hidden="false" customHeight="false" outlineLevel="0" collapsed="false">
      <c r="B5" s="4" t="s">
        <v>2</v>
      </c>
      <c r="C5" s="4"/>
      <c r="D5" s="4"/>
      <c r="E5" s="4"/>
      <c r="F5" s="4"/>
    </row>
    <row r="7" customFormat="false" ht="15" hidden="false" customHeight="false" outlineLevel="0" collapsed="false">
      <c r="B7" s="5" t="s">
        <v>3</v>
      </c>
      <c r="C7" s="6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5" t="s">
        <v>7</v>
      </c>
      <c r="C9" s="6" t="s">
        <v>8</v>
      </c>
    </row>
    <row r="10" customFormat="false" ht="15" hidden="false" customHeight="false" outlineLevel="0" collapsed="false">
      <c r="B10" s="5" t="s">
        <v>9</v>
      </c>
      <c r="C10" s="6" t="s">
        <v>10</v>
      </c>
    </row>
    <row r="12" customFormat="false" ht="30" hidden="false" customHeight="true" outlineLevel="0" collapsed="false"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</row>
    <row r="13" customFormat="false" ht="15" hidden="false" customHeight="false" outlineLevel="0" collapsed="false">
      <c r="B13" s="8" t="s">
        <v>16</v>
      </c>
      <c r="C13" s="8" t="s">
        <v>17</v>
      </c>
      <c r="D13" s="9" t="n">
        <v>2</v>
      </c>
      <c r="E13" s="10" t="n">
        <v>7.59</v>
      </c>
      <c r="F13" s="10" t="n">
        <f aca="false">D13*E13</f>
        <v>15.18</v>
      </c>
    </row>
    <row r="14" customFormat="false" ht="15" hidden="false" customHeight="false" outlineLevel="0" collapsed="false">
      <c r="B14" s="11" t="s">
        <v>18</v>
      </c>
      <c r="C14" s="11" t="s">
        <v>19</v>
      </c>
      <c r="D14" s="12" t="n">
        <v>1</v>
      </c>
      <c r="E14" s="13" t="n">
        <v>19.8</v>
      </c>
      <c r="F14" s="13" t="n">
        <f aca="false">D14*E14</f>
        <v>19.8</v>
      </c>
    </row>
    <row r="15" customFormat="false" ht="15" hidden="false" customHeight="false" outlineLevel="0" collapsed="false">
      <c r="B15" s="8" t="s">
        <v>20</v>
      </c>
      <c r="C15" s="8" t="s">
        <v>21</v>
      </c>
      <c r="D15" s="9" t="n">
        <v>1</v>
      </c>
      <c r="E15" s="10" t="n">
        <v>32.4</v>
      </c>
      <c r="F15" s="10" t="n">
        <f aca="false">D15*E15</f>
        <v>32.4</v>
      </c>
    </row>
    <row r="16" customFormat="false" ht="15" hidden="false" customHeight="false" outlineLevel="0" collapsed="false">
      <c r="B16" s="11" t="s">
        <v>22</v>
      </c>
      <c r="C16" s="11" t="s">
        <v>23</v>
      </c>
      <c r="D16" s="12" t="n">
        <v>1</v>
      </c>
      <c r="E16" s="13" t="n">
        <v>1.2</v>
      </c>
      <c r="F16" s="13" t="n">
        <f aca="false">D16*E16</f>
        <v>1.2</v>
      </c>
    </row>
    <row r="17" customFormat="false" ht="15" hidden="false" customHeight="false" outlineLevel="0" collapsed="false">
      <c r="B17" s="8" t="s">
        <v>24</v>
      </c>
      <c r="C17" s="8" t="s">
        <v>25</v>
      </c>
      <c r="D17" s="9" t="n">
        <v>1</v>
      </c>
      <c r="E17" s="10" t="n">
        <v>34.2</v>
      </c>
      <c r="F17" s="10" t="n">
        <f aca="false">D17*E17</f>
        <v>34.2</v>
      </c>
    </row>
    <row r="18" customFormat="false" ht="15" hidden="false" customHeight="false" outlineLevel="0" collapsed="false">
      <c r="B18" s="11" t="s">
        <v>26</v>
      </c>
      <c r="C18" s="11" t="s">
        <v>27</v>
      </c>
      <c r="D18" s="12" t="n">
        <v>1</v>
      </c>
      <c r="E18" s="13" t="n">
        <v>1.8</v>
      </c>
      <c r="F18" s="13" t="n">
        <f aca="false">D18*E18</f>
        <v>1.8</v>
      </c>
    </row>
    <row r="19" customFormat="false" ht="15" hidden="false" customHeight="false" outlineLevel="0" collapsed="false">
      <c r="B19" s="8" t="s">
        <v>28</v>
      </c>
      <c r="C19" s="8" t="s">
        <v>29</v>
      </c>
      <c r="D19" s="9" t="n">
        <v>1</v>
      </c>
      <c r="E19" s="10" t="n">
        <v>4.5</v>
      </c>
      <c r="F19" s="10" t="n">
        <f aca="false">D19*E19</f>
        <v>4.5</v>
      </c>
    </row>
    <row r="20" customFormat="false" ht="25.5" hidden="false" customHeight="true" outlineLevel="0" collapsed="false">
      <c r="B20" s="14" t="s">
        <v>30</v>
      </c>
      <c r="C20" s="14"/>
      <c r="D20" s="14"/>
      <c r="E20" s="14"/>
      <c r="F20" s="15" t="n">
        <f aca="false">SUM(F13:F19)</f>
        <v>109.08</v>
      </c>
    </row>
    <row r="23" customFormat="false" ht="15" hidden="false" customHeight="false" outlineLevel="0" collapsed="false">
      <c r="B23" s="16" t="s">
        <v>31</v>
      </c>
      <c r="C23" s="16"/>
      <c r="D23" s="16"/>
      <c r="E23" s="16"/>
      <c r="F23" s="16"/>
    </row>
  </sheetData>
  <autoFilter ref="B12:F19"/>
  <mergeCells count="5">
    <mergeCell ref="B2:F2"/>
    <mergeCell ref="B3:F3"/>
    <mergeCell ref="B5:F5"/>
    <mergeCell ref="B20:E20"/>
    <mergeCell ref="B23:F23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&amp;CComercial Nova - Implementación de WordPress en AWS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7.75" hidden="false" customHeight="true" outlineLevel="0" collapsed="false">
      <c r="A2" s="1"/>
      <c r="B2" s="17" t="s">
        <v>32</v>
      </c>
      <c r="C2" s="17"/>
      <c r="D2" s="17"/>
    </row>
    <row r="4" customFormat="false" ht="24" hidden="false" customHeight="true" outlineLevel="0" collapsed="false">
      <c r="B4" s="7" t="s">
        <v>33</v>
      </c>
      <c r="C4" s="7" t="s">
        <v>34</v>
      </c>
      <c r="D4" s="7" t="s">
        <v>35</v>
      </c>
    </row>
    <row r="5" customFormat="false" ht="15" hidden="false" customHeight="false" outlineLevel="0" collapsed="false">
      <c r="B5" s="8" t="s">
        <v>24</v>
      </c>
      <c r="C5" s="10" t="n">
        <v>34.2</v>
      </c>
      <c r="D5" s="18" t="n">
        <f aca="false">C5/SUM($C$5:$C$11)</f>
        <v>0.313531353135314</v>
      </c>
    </row>
    <row r="6" customFormat="false" ht="15" hidden="false" customHeight="false" outlineLevel="0" collapsed="false">
      <c r="B6" s="11" t="s">
        <v>20</v>
      </c>
      <c r="C6" s="13" t="n">
        <v>32.4</v>
      </c>
      <c r="D6" s="19" t="n">
        <f aca="false">C6/SUM($C$5:$C$11)</f>
        <v>0.297029702970297</v>
      </c>
    </row>
    <row r="7" customFormat="false" ht="15" hidden="false" customHeight="false" outlineLevel="0" collapsed="false">
      <c r="B7" s="8" t="s">
        <v>18</v>
      </c>
      <c r="C7" s="10" t="n">
        <v>19.8</v>
      </c>
      <c r="D7" s="18" t="n">
        <f aca="false">C7/SUM($C$5:$C$11)</f>
        <v>0.181518151815182</v>
      </c>
    </row>
    <row r="8" customFormat="false" ht="15" hidden="false" customHeight="false" outlineLevel="0" collapsed="false">
      <c r="B8" s="11" t="s">
        <v>16</v>
      </c>
      <c r="C8" s="13" t="n">
        <v>15.18</v>
      </c>
      <c r="D8" s="19" t="n">
        <f aca="false">C8/SUM($C$5:$C$11)</f>
        <v>0.139163916391639</v>
      </c>
    </row>
    <row r="9" customFormat="false" ht="15" hidden="false" customHeight="false" outlineLevel="0" collapsed="false">
      <c r="B9" s="8" t="s">
        <v>28</v>
      </c>
      <c r="C9" s="10" t="n">
        <v>4.5</v>
      </c>
      <c r="D9" s="18" t="n">
        <f aca="false">C9/SUM($C$5:$C$11)</f>
        <v>0.0412541254125413</v>
      </c>
    </row>
    <row r="10" customFormat="false" ht="15" hidden="false" customHeight="false" outlineLevel="0" collapsed="false">
      <c r="B10" s="11" t="s">
        <v>26</v>
      </c>
      <c r="C10" s="13" t="n">
        <v>1.8</v>
      </c>
      <c r="D10" s="19" t="n">
        <f aca="false">C10/SUM($C$5:$C$11)</f>
        <v>0.0165016501650165</v>
      </c>
    </row>
    <row r="11" customFormat="false" ht="15" hidden="false" customHeight="false" outlineLevel="0" collapsed="false">
      <c r="B11" s="8" t="s">
        <v>22</v>
      </c>
      <c r="C11" s="10" t="n">
        <v>1.2</v>
      </c>
      <c r="D11" s="18" t="n">
        <f aca="false">C11/SUM($C$5:$C$11)</f>
        <v>0.011001100110011</v>
      </c>
    </row>
  </sheetData>
  <autoFilter ref="B4:D11"/>
  <mergeCells count="1">
    <mergeCell ref="B2:D2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&amp;CComercial Nova - Implementación de WordPress en AWS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7.75" hidden="false" customHeight="true" outlineLevel="0" collapsed="false">
      <c r="A2" s="1"/>
      <c r="B2" s="17" t="s">
        <v>36</v>
      </c>
      <c r="C2" s="17"/>
      <c r="D2" s="17"/>
    </row>
    <row r="4" customFormat="false" ht="24" hidden="false" customHeight="true" outlineLevel="0" collapsed="false">
      <c r="B4" s="7" t="s">
        <v>37</v>
      </c>
      <c r="C4" s="7" t="s">
        <v>38</v>
      </c>
      <c r="D4" s="7" t="s">
        <v>39</v>
      </c>
    </row>
    <row r="5" customFormat="false" ht="15" hidden="false" customHeight="false" outlineLevel="0" collapsed="false">
      <c r="B5" s="8" t="s">
        <v>40</v>
      </c>
      <c r="C5" s="8" t="s">
        <v>41</v>
      </c>
      <c r="D5" s="9" t="s">
        <v>42</v>
      </c>
    </row>
    <row r="6" customFormat="false" ht="15" hidden="false" customHeight="false" outlineLevel="0" collapsed="false">
      <c r="B6" s="11" t="s">
        <v>43</v>
      </c>
      <c r="C6" s="11" t="s">
        <v>44</v>
      </c>
      <c r="D6" s="12" t="s">
        <v>45</v>
      </c>
    </row>
    <row r="7" customFormat="false" ht="15" hidden="false" customHeight="false" outlineLevel="0" collapsed="false">
      <c r="B7" s="8" t="s">
        <v>46</v>
      </c>
      <c r="C7" s="8" t="s">
        <v>47</v>
      </c>
      <c r="D7" s="9" t="s">
        <v>48</v>
      </c>
    </row>
    <row r="8" customFormat="false" ht="15" hidden="false" customHeight="false" outlineLevel="0" collapsed="false">
      <c r="B8" s="11" t="s">
        <v>49</v>
      </c>
      <c r="C8" s="11" t="s">
        <v>50</v>
      </c>
      <c r="D8" s="12" t="s">
        <v>51</v>
      </c>
    </row>
    <row r="9" customFormat="false" ht="15" hidden="false" customHeight="false" outlineLevel="0" collapsed="false">
      <c r="B9" s="8" t="s">
        <v>52</v>
      </c>
      <c r="C9" s="8" t="s">
        <v>53</v>
      </c>
      <c r="D9" s="9" t="s">
        <v>54</v>
      </c>
    </row>
    <row r="11" customFormat="false" ht="16.15" hidden="false" customHeight="false" outlineLevel="0" collapsed="false">
      <c r="B11" s="20" t="s">
        <v>55</v>
      </c>
      <c r="C11" s="20"/>
    </row>
    <row r="12" customFormat="false" ht="21.75" hidden="false" customHeight="true" outlineLevel="0" collapsed="false">
      <c r="B12" s="7" t="s">
        <v>56</v>
      </c>
      <c r="C12" s="7" t="s">
        <v>15</v>
      </c>
    </row>
    <row r="13" customFormat="false" ht="15" hidden="false" customHeight="false" outlineLevel="0" collapsed="false">
      <c r="B13" s="8" t="s">
        <v>57</v>
      </c>
      <c r="C13" s="10" t="n">
        <v>109.08</v>
      </c>
    </row>
    <row r="14" customFormat="false" ht="15" hidden="false" customHeight="false" outlineLevel="0" collapsed="false">
      <c r="B14" s="11" t="s">
        <v>58</v>
      </c>
      <c r="C14" s="13" t="n">
        <v>67</v>
      </c>
    </row>
    <row r="15" customFormat="false" ht="15" hidden="false" customHeight="false" outlineLevel="0" collapsed="false">
      <c r="B15" s="21" t="s">
        <v>59</v>
      </c>
      <c r="C15" s="22" t="n">
        <f aca="false">(C13-C14)/C13</f>
        <v>0.385771910524386</v>
      </c>
    </row>
    <row r="18" customFormat="false" ht="15" hidden="false" customHeight="true" outlineLevel="0" collapsed="false">
      <c r="B18" s="23" t="s">
        <v>60</v>
      </c>
      <c r="C18" s="23"/>
      <c r="D18" s="23"/>
    </row>
    <row r="19" customFormat="false" ht="15" hidden="false" customHeight="false" outlineLevel="0" collapsed="false">
      <c r="B19" s="23"/>
      <c r="C19" s="23"/>
      <c r="D19" s="23"/>
    </row>
    <row r="20" customFormat="false" ht="15" hidden="false" customHeight="false" outlineLevel="0" collapsed="false">
      <c r="B20" s="23"/>
      <c r="C20" s="23"/>
      <c r="D20" s="23"/>
    </row>
    <row r="21" customFormat="false" ht="15" hidden="false" customHeight="false" outlineLevel="0" collapsed="false">
      <c r="B21" s="23"/>
      <c r="C21" s="23"/>
      <c r="D21" s="23"/>
    </row>
  </sheetData>
  <autoFilter ref="B4:D9"/>
  <mergeCells count="3">
    <mergeCell ref="B2:D2"/>
    <mergeCell ref="B11:C11"/>
    <mergeCell ref="B18:D21"/>
  </mergeCell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&amp;CComercial Nova - Implementación de WordPress en AWS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2026-07-03T07:15:18Z</dcterms:created>
  <dc:creator>openpyxl</dc:creator>
  <dc:description/>
  <dc:language>en-US</dc:language>
  <cp:lastModifiedBy/>
  <dcterms:modified xsi:type="dcterms:W3CDTF">2026-07-03T07:15:34Z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